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INZYNERIA\ebebebe\MG_Lab_zad\lab_docs\zad3\"/>
    </mc:Choice>
  </mc:AlternateContent>
  <xr:revisionPtr revIDLastSave="0" documentId="8_{77F4C6E8-997C-42C7-AAA3-1A40C2F6DCF6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Kosztorys projektu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  <c r="G8" i="1"/>
  <c r="G9" i="1"/>
  <c r="G10" i="1"/>
  <c r="G11" i="1"/>
  <c r="E12" i="1"/>
  <c r="G15" i="1"/>
  <c r="G16" i="1"/>
  <c r="G17" i="1"/>
  <c r="G12" i="1" l="1"/>
  <c r="F18" i="1" s="1"/>
  <c r="G18" i="1" s="1"/>
  <c r="G19" i="1" s="1"/>
  <c r="G20" i="1" s="1"/>
</calcChain>
</file>

<file path=xl/sharedStrings.xml><?xml version="1.0" encoding="utf-8"?>
<sst xmlns="http://schemas.openxmlformats.org/spreadsheetml/2006/main" count="49" uniqueCount="47">
  <si>
    <t>Lp.</t>
  </si>
  <si>
    <t>Rola w projekcie</t>
  </si>
  <si>
    <t>Zadania realizowane w projekcie</t>
  </si>
  <si>
    <t>Liczba osób</t>
  </si>
  <si>
    <t>Nakład [godz.]</t>
  </si>
  <si>
    <t>Stawka [PLN/h]</t>
  </si>
  <si>
    <t>Koszt [PLN]</t>
  </si>
  <si>
    <t>Project Manager</t>
  </si>
  <si>
    <t>Przygotowanie planu projektu (16h) + przygotowanie harmonogramu projektu (24h)</t>
  </si>
  <si>
    <t>Business Analyst</t>
  </si>
  <si>
    <t>Napisanie specyfikacji wymagań funkcjonalnych (3 dni)</t>
  </si>
  <si>
    <t>System Analyst</t>
  </si>
  <si>
    <t>Przygotowanie analizy specyfikacji wymagań (3 dni)</t>
  </si>
  <si>
    <t>Developer</t>
  </si>
  <si>
    <t>Przygotowanie kodu aplikacji (8h) + unit testy (8h) + opis wersji aplikacji (8h)</t>
  </si>
  <si>
    <t>Configuration Manager</t>
  </si>
  <si>
    <t>Plan zarządzania konfiguracją (8h) + instalacja pakietów 2× (8h + 8h)</t>
  </si>
  <si>
    <t>Risk Manager</t>
  </si>
  <si>
    <t>Plan zarządzania ryzykiem projektu (1 dzień)</t>
  </si>
  <si>
    <t>Test Manager</t>
  </si>
  <si>
    <t>Plan testów (8h) + akceptacja I cyklu testów (8h) + akceptacja II cyklu testów (8h)</t>
  </si>
  <si>
    <t>Project Management Board</t>
  </si>
  <si>
    <t>Akceptacja planów projektu</t>
  </si>
  <si>
    <t>Application Tester</t>
  </si>
  <si>
    <t>Wykonanie I cyklu testów (8h) + wykonanie II cyklu testów (8h)</t>
  </si>
  <si>
    <t>System Architect</t>
  </si>
  <si>
    <t>Przygotowanie projektu aplikacji (3 dni)</t>
  </si>
  <si>
    <t>ŁĄCZNY NAKŁAD I KOSZT ROBOCIZNY</t>
  </si>
  <si>
    <t>Kategoria</t>
  </si>
  <si>
    <t>Opis</t>
  </si>
  <si>
    <t>Ilość</t>
  </si>
  <si>
    <t>Jednostka</t>
  </si>
  <si>
    <t>Cena jedn.</t>
  </si>
  <si>
    <t>Oprogramowanie</t>
  </si>
  <si>
    <t>Licencja JetBrains All Products Pack (roczna, 3 użytkowników)</t>
  </si>
  <si>
    <t>szt.</t>
  </si>
  <si>
    <t>Infrastruktura</t>
  </si>
  <si>
    <t>Serwer VPS – hosting środowiska testowego (3 miesiące)</t>
  </si>
  <si>
    <t>mies.</t>
  </si>
  <si>
    <t>Szkolenia</t>
  </si>
  <si>
    <t>Szkolenie z metodyki Scrum dla zespołu projektowego</t>
  </si>
  <si>
    <t>kurs</t>
  </si>
  <si>
    <t>Rezerwa</t>
  </si>
  <si>
    <t>Bufor budżetowy 10% kosztu robocizny</t>
  </si>
  <si>
    <t>kpl.</t>
  </si>
  <si>
    <t>SUMA KOSZTÓW DODATKOWYCH</t>
  </si>
  <si>
    <t>CAŁKOWITY BUDŻET PROJEKTU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</si>
</sst>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&quot; godz.&quot;"/>
    <numFmt numFmtId="165" formatCode="0.00&quot; PLN&quot;"/>
    <numFmt numFmtId="166" formatCode="#,##0.00&quot; PLN&quot;"/>
  </numFmts>
  <fonts count="4" x14ac:knownFonts="1">
    <font>
      <sz val="11"/>
      <color theme="1"/>
      <name val="Calibri"/>
      <family val="2"/>
      <charset val="1"/>
    </font>
    <font>
      <sz val="11"/>
      <color rgb="FF000000"/>
      <name val="Calibri"/>
    </font>
    <font>
      <sz val="10"/>
      <color rgb="FF000000"/>
      <name val="Calibri"/>
    </font>
    <font>
      <b/>
      <sz val="1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 wrapText="1"/>
    </xf>
    <xf numFmtId="164" fontId="2" fillId="2" borderId="1" xfId="0" applyNumberFormat="1" applyFont="1" applyFill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right" vertical="center"/>
    </xf>
    <xf numFmtId="164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/>
    <xf numFmtId="166" fontId="3" fillId="2" borderId="1" xfId="0" applyNumberFormat="1" applyFont="1" applyFill="1" applyBorder="1" applyAlignment="1">
      <alignment horizontal="right" vertical="center"/>
    </xf>
    <xf numFmtId="166" fontId="2" fillId="2" borderId="1" xfId="0" applyNumberFormat="1" applyFont="1" applyFill="1" applyBorder="1" applyAlignment="1">
      <alignment horizontal="center" vertical="center"/>
    </xf>
  </cellXfs>
  <cellStyles count="1">
    <cellStyle name="Normalny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6" formatCode="#,##0.00&quot; PLN&quot;"/>
      <fill>
        <patternFill patternType="solid">
          <fgColor indexed="64"/>
          <bgColor rgb="FFFFFFFF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5" formatCode="0.00&quot; PLN&quot;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4" formatCode="0&quot; godz.&quot;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6" formatCode="#,##0.00&quot; PLN&quot;"/>
      <fill>
        <patternFill patternType="solid">
          <fgColor indexed="64"/>
          <bgColor rgb="FFFFFFFF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A5A1A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7F7F7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1F1F1F"/>
      <rgbColor rgb="FF993300"/>
      <rgbColor rgb="FF993366"/>
      <rgbColor rgb="FF333399"/>
      <rgbColor rgb="FF3A3A3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88E2AD1-E782-4F40-8EB6-DDD9B2445548}" name="Tabela8" displayName="Tabela8" ref="A14:G20" totalsRowShown="0" headerRowDxfId="7">
  <autoFilter ref="A14:G20" xr:uid="{C88E2AD1-E782-4F40-8EB6-DDD9B2445548}"/>
  <tableColumns count="7">
    <tableColumn id="1" xr3:uid="{7D7687B3-1F1A-4E30-A70C-41E7602893A0}" name="Lp." dataDxfId="13"/>
    <tableColumn id="2" xr3:uid="{728FDCF7-F0CD-44E0-BB83-D31B1B2311D4}" name="Kategoria" dataDxfId="12"/>
    <tableColumn id="3" xr3:uid="{24B92E7F-5C44-4699-A6F5-FBC7DE1BC871}" name="Opis" dataDxfId="11"/>
    <tableColumn id="4" xr3:uid="{400B4BEC-AEDC-4DBD-A12F-C983EAC8C951}" name="Ilość" dataDxfId="10"/>
    <tableColumn id="5" xr3:uid="{A3838380-29CB-4418-9B41-24E0AA975E93}" name="Jednostka" dataDxfId="9"/>
    <tableColumn id="6" xr3:uid="{9B52F098-9147-47B2-9ED7-5324919C4972}" name="Cena jedn."/>
    <tableColumn id="7" xr3:uid="{8C6252EE-A44F-4937-AA51-4C652E2BFBF1}" name="Koszt [PLN]" dataDxfId="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8CDBB33-949D-46C5-AE5D-0B72E19BA1C5}" name="Tabela5" displayName="Tabela5" ref="A1:G12" totalsRowShown="0" headerRowDxfId="14">
  <autoFilter ref="A1:G12" xr:uid="{D8CDBB33-949D-46C5-AE5D-0B72E19BA1C5}"/>
  <tableColumns count="7">
    <tableColumn id="1" xr3:uid="{039DFEA7-6669-4553-B975-4058B94D7933}" name="Lp." dataDxfId="6"/>
    <tableColumn id="2" xr3:uid="{EE4BDFF7-F481-4756-BFF3-33BF83894494}" name="Rola w projekcie" dataDxfId="5"/>
    <tableColumn id="3" xr3:uid="{9BBB2A03-3E65-443D-A089-1A9F09D04EE2}" name="Zadania realizowane w projekcie" dataDxfId="4"/>
    <tableColumn id="4" xr3:uid="{3E78BBA3-3B2A-42E7-8DC5-8FBFAB1332A1}" name="Liczba osób" dataDxfId="3"/>
    <tableColumn id="5" xr3:uid="{FA2122F5-B7C3-450C-BD9F-A966296D8343}" name="Nakład [godz.]" dataDxfId="2"/>
    <tableColumn id="6" xr3:uid="{86122B78-4D90-4632-A768-68656BA6B5F7}" name="Stawka [PLN/h]" dataDxfId="1"/>
    <tableColumn id="7" xr3:uid="{EC2E4A91-15DA-442E-BEAB-560CB7DAA2A5}" name="Koszt [PLN]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"/>
  <sheetViews>
    <sheetView tabSelected="1" zoomScaleNormal="100" workbookViewId="0">
      <pane ySplit="5" topLeftCell="A6" activePane="bottomLeft" state="frozen"/>
      <selection pane="bottomLeft" activeCell="J8" sqref="J8"/>
    </sheetView>
  </sheetViews>
  <sheetFormatPr defaultColWidth="8.7109375" defaultRowHeight="15" x14ac:dyDescent="0.25"/>
  <cols>
    <col min="1" max="1" width="5.42578125" customWidth="1"/>
    <col min="2" max="2" width="28" customWidth="1"/>
    <col min="3" max="3" width="53" customWidth="1"/>
    <col min="4" max="4" width="13" customWidth="1"/>
    <col min="5" max="5" width="14" customWidth="1"/>
    <col min="6" max="6" width="15.28515625" customWidth="1"/>
    <col min="7" max="7" width="16" customWidth="1"/>
  </cols>
  <sheetData>
    <row r="1" spans="1:7" ht="21.7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ht="34.5" customHeight="1" x14ac:dyDescent="0.25">
      <c r="A2" s="5">
        <v>1</v>
      </c>
      <c r="B2" s="3" t="s">
        <v>7</v>
      </c>
      <c r="C2" s="6" t="s">
        <v>8</v>
      </c>
      <c r="D2" s="5">
        <v>1</v>
      </c>
      <c r="E2" s="7">
        <v>40</v>
      </c>
      <c r="F2" s="8">
        <v>120</v>
      </c>
      <c r="G2" s="9">
        <f t="shared" ref="G2:G11" si="0">D2*E2*F2</f>
        <v>4800</v>
      </c>
    </row>
    <row r="3" spans="1:7" ht="15" customHeight="1" x14ac:dyDescent="0.25">
      <c r="A3" s="5">
        <v>2</v>
      </c>
      <c r="B3" s="3" t="s">
        <v>9</v>
      </c>
      <c r="C3" s="6" t="s">
        <v>10</v>
      </c>
      <c r="D3" s="5">
        <v>1</v>
      </c>
      <c r="E3" s="7">
        <v>24</v>
      </c>
      <c r="F3" s="8">
        <v>100</v>
      </c>
      <c r="G3" s="9">
        <f t="shared" si="0"/>
        <v>2400</v>
      </c>
    </row>
    <row r="4" spans="1:7" ht="19.5" customHeight="1" x14ac:dyDescent="0.25">
      <c r="A4" s="5">
        <v>3</v>
      </c>
      <c r="B4" s="3" t="s">
        <v>11</v>
      </c>
      <c r="C4" s="6" t="s">
        <v>12</v>
      </c>
      <c r="D4" s="5">
        <v>1</v>
      </c>
      <c r="E4" s="7">
        <v>24</v>
      </c>
      <c r="F4" s="8">
        <v>95</v>
      </c>
      <c r="G4" s="9">
        <f t="shared" si="0"/>
        <v>2280</v>
      </c>
    </row>
    <row r="5" spans="1:7" ht="25.5" customHeight="1" x14ac:dyDescent="0.25">
      <c r="A5" s="5">
        <v>4</v>
      </c>
      <c r="B5" s="3" t="s">
        <v>13</v>
      </c>
      <c r="C5" s="6" t="s">
        <v>14</v>
      </c>
      <c r="D5" s="5">
        <v>1</v>
      </c>
      <c r="E5" s="7">
        <v>24</v>
      </c>
      <c r="F5" s="8">
        <v>110</v>
      </c>
      <c r="G5" s="9">
        <f t="shared" si="0"/>
        <v>2640</v>
      </c>
    </row>
    <row r="6" spans="1:7" ht="33.75" customHeight="1" x14ac:dyDescent="0.25">
      <c r="A6" s="5">
        <v>5</v>
      </c>
      <c r="B6" s="3" t="s">
        <v>15</v>
      </c>
      <c r="C6" s="6" t="s">
        <v>16</v>
      </c>
      <c r="D6" s="5">
        <v>1</v>
      </c>
      <c r="E6" s="7">
        <v>24</v>
      </c>
      <c r="F6" s="8">
        <v>85</v>
      </c>
      <c r="G6" s="9">
        <f t="shared" si="0"/>
        <v>2040</v>
      </c>
    </row>
    <row r="7" spans="1:7" ht="19.5" customHeight="1" x14ac:dyDescent="0.25">
      <c r="A7" s="5">
        <v>6</v>
      </c>
      <c r="B7" s="3" t="s">
        <v>17</v>
      </c>
      <c r="C7" s="6" t="s">
        <v>18</v>
      </c>
      <c r="D7" s="5">
        <v>1</v>
      </c>
      <c r="E7" s="7">
        <v>8</v>
      </c>
      <c r="F7" s="8">
        <v>90</v>
      </c>
      <c r="G7" s="9">
        <f t="shared" si="0"/>
        <v>720</v>
      </c>
    </row>
    <row r="8" spans="1:7" ht="30" customHeight="1" x14ac:dyDescent="0.25">
      <c r="A8" s="5">
        <v>7</v>
      </c>
      <c r="B8" s="3" t="s">
        <v>19</v>
      </c>
      <c r="C8" s="6" t="s">
        <v>20</v>
      </c>
      <c r="D8" s="5">
        <v>1</v>
      </c>
      <c r="E8" s="7">
        <v>24</v>
      </c>
      <c r="F8" s="8">
        <v>95</v>
      </c>
      <c r="G8" s="9">
        <f t="shared" si="0"/>
        <v>2280</v>
      </c>
    </row>
    <row r="9" spans="1:7" ht="19.5" customHeight="1" x14ac:dyDescent="0.25">
      <c r="A9" s="5">
        <v>8</v>
      </c>
      <c r="B9" s="3" t="s">
        <v>21</v>
      </c>
      <c r="C9" s="6" t="s">
        <v>22</v>
      </c>
      <c r="D9" s="5">
        <v>1</v>
      </c>
      <c r="E9" s="7">
        <v>8</v>
      </c>
      <c r="F9" s="8">
        <v>125</v>
      </c>
      <c r="G9" s="9">
        <f t="shared" si="0"/>
        <v>1000</v>
      </c>
    </row>
    <row r="10" spans="1:7" ht="19.5" customHeight="1" x14ac:dyDescent="0.25">
      <c r="A10" s="5">
        <v>9</v>
      </c>
      <c r="B10" s="3" t="s">
        <v>23</v>
      </c>
      <c r="C10" s="6" t="s">
        <v>24</v>
      </c>
      <c r="D10" s="5">
        <v>1</v>
      </c>
      <c r="E10" s="7">
        <v>16</v>
      </c>
      <c r="F10" s="8">
        <v>85</v>
      </c>
      <c r="G10" s="9">
        <f t="shared" si="0"/>
        <v>1360</v>
      </c>
    </row>
    <row r="11" spans="1:7" ht="19.5" customHeight="1" x14ac:dyDescent="0.25">
      <c r="A11" s="5">
        <v>10</v>
      </c>
      <c r="B11" s="3" t="s">
        <v>25</v>
      </c>
      <c r="C11" s="6" t="s">
        <v>26</v>
      </c>
      <c r="D11" s="5">
        <v>1</v>
      </c>
      <c r="E11" s="7">
        <v>24</v>
      </c>
      <c r="F11" s="8">
        <v>110</v>
      </c>
      <c r="G11" s="9">
        <f t="shared" si="0"/>
        <v>2640</v>
      </c>
    </row>
    <row r="12" spans="1:7" ht="19.5" customHeight="1" x14ac:dyDescent="0.25">
      <c r="A12" s="3" t="s">
        <v>27</v>
      </c>
      <c r="B12" s="1"/>
      <c r="C12" s="1"/>
      <c r="D12" s="1"/>
      <c r="E12" s="10">
        <f>SUM(E2:E11)</f>
        <v>216</v>
      </c>
      <c r="F12" s="11"/>
      <c r="G12" s="12">
        <f>SUM(G2:G11)</f>
        <v>22160</v>
      </c>
    </row>
    <row r="13" spans="1:7" ht="19.5" customHeight="1" x14ac:dyDescent="0.25"/>
    <row r="14" spans="1:7" ht="19.5" customHeight="1" x14ac:dyDescent="0.25">
      <c r="A14" s="4" t="s">
        <v>0</v>
      </c>
      <c r="B14" s="4" t="s">
        <v>28</v>
      </c>
      <c r="C14" s="4" t="s">
        <v>29</v>
      </c>
      <c r="D14" s="4" t="s">
        <v>30</v>
      </c>
      <c r="E14" s="4" t="s">
        <v>31</v>
      </c>
      <c r="F14" s="4" t="s">
        <v>32</v>
      </c>
      <c r="G14" s="4" t="s">
        <v>6</v>
      </c>
    </row>
    <row r="15" spans="1:7" ht="19.5" customHeight="1" x14ac:dyDescent="0.25">
      <c r="A15" s="5">
        <v>1</v>
      </c>
      <c r="B15" s="2" t="s">
        <v>33</v>
      </c>
      <c r="C15" s="2" t="s">
        <v>34</v>
      </c>
      <c r="D15" s="5">
        <v>3</v>
      </c>
      <c r="E15" s="2" t="s">
        <v>35</v>
      </c>
      <c r="F15" s="5">
        <v>450</v>
      </c>
      <c r="G15" s="9">
        <f>D15*F15</f>
        <v>1350</v>
      </c>
    </row>
    <row r="16" spans="1:7" ht="21.75" customHeight="1" x14ac:dyDescent="0.25">
      <c r="A16" s="5">
        <v>2</v>
      </c>
      <c r="B16" s="2" t="s">
        <v>36</v>
      </c>
      <c r="C16" s="2" t="s">
        <v>37</v>
      </c>
      <c r="D16" s="5">
        <v>3</v>
      </c>
      <c r="E16" s="2" t="s">
        <v>38</v>
      </c>
      <c r="F16" s="5">
        <v>120</v>
      </c>
      <c r="G16" s="9">
        <f>D16*F16</f>
        <v>360</v>
      </c>
    </row>
    <row r="17" spans="1:7" ht="15" customHeight="1" x14ac:dyDescent="0.25">
      <c r="A17" s="5">
        <v>3</v>
      </c>
      <c r="B17" s="2" t="s">
        <v>39</v>
      </c>
      <c r="C17" s="2" t="s">
        <v>40</v>
      </c>
      <c r="D17" s="5">
        <v>1</v>
      </c>
      <c r="E17" s="2" t="s">
        <v>41</v>
      </c>
      <c r="F17" s="5">
        <v>800</v>
      </c>
      <c r="G17" s="9">
        <f>D17*F17</f>
        <v>800</v>
      </c>
    </row>
    <row r="18" spans="1:7" ht="15" customHeight="1" x14ac:dyDescent="0.25">
      <c r="A18" s="5">
        <v>4</v>
      </c>
      <c r="B18" s="2" t="s">
        <v>42</v>
      </c>
      <c r="C18" s="2" t="s">
        <v>43</v>
      </c>
      <c r="D18" s="5">
        <v>1</v>
      </c>
      <c r="E18" s="2" t="s">
        <v>44</v>
      </c>
      <c r="F18" s="13">
        <f>G12*0.1</f>
        <v>2216</v>
      </c>
      <c r="G18" s="9">
        <f>D18*F18</f>
        <v>2216</v>
      </c>
    </row>
    <row r="19" spans="1:7" ht="19.5" customHeight="1" x14ac:dyDescent="0.25">
      <c r="A19" s="3" t="s">
        <v>45</v>
      </c>
      <c r="B19" s="1"/>
      <c r="C19" s="1"/>
      <c r="D19" s="1"/>
      <c r="E19" s="1"/>
      <c r="F19" s="11"/>
      <c r="G19" s="12">
        <f>SUM(G15:G18)</f>
        <v>4726</v>
      </c>
    </row>
    <row r="20" spans="1:7" ht="19.5" customHeight="1" x14ac:dyDescent="0.25">
      <c r="A20" s="3" t="s">
        <v>46</v>
      </c>
      <c r="B20" s="1"/>
      <c r="C20" s="1"/>
      <c r="D20" s="1"/>
      <c r="E20" s="1"/>
      <c r="F20" s="1"/>
      <c r="G20" s="12">
        <f>G12+G19</f>
        <v>26886</v>
      </c>
    </row>
    <row r="21" spans="1:7" ht="18" customHeight="1" x14ac:dyDescent="0.25"/>
    <row r="22" spans="1:7" ht="18" customHeight="1" x14ac:dyDescent="0.25"/>
    <row r="23" spans="1:7" ht="18" customHeight="1" x14ac:dyDescent="0.25"/>
    <row r="24" spans="1:7" ht="18" customHeight="1" x14ac:dyDescent="0.25"/>
    <row r="25" spans="1:7" ht="21.75" customHeight="1" x14ac:dyDescent="0.25"/>
    <row r="26" spans="1:7" ht="15" customHeight="1" x14ac:dyDescent="0.25"/>
    <row r="27" spans="1:7" ht="15" customHeight="1" x14ac:dyDescent="0.25"/>
    <row r="28" spans="1:7" ht="27.75" customHeight="1" x14ac:dyDescent="0.25"/>
    <row r="29" spans="1:7" ht="15" customHeight="1" x14ac:dyDescent="0.25"/>
    <row r="30" spans="1:7" ht="15" customHeight="1" x14ac:dyDescent="0.25"/>
  </sheetData>
  <pageMargins left="0.75" right="0.75" top="1" bottom="1" header="0.511811023622047" footer="0.511811023622047"/>
  <pageSetup paperSize="9" orientation="portrait" horizontalDpi="300" verticalDpi="300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Kosztorys projektu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 Garbowski</dc:creator>
  <cp:lastModifiedBy>Marcel Garbowski</cp:lastModifiedBy>
  <cp:revision>0</cp:revision>
  <dcterms:created xsi:type="dcterms:W3CDTF">2026-06-18T17:57:17Z</dcterms:created>
  <dcterms:modified xsi:type="dcterms:W3CDTF">2026-06-28T14:41:31Z</dcterms:modified>
  <dc:language>en-US</dc:language>
</cp:coreProperties>
</file>